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Chenxi Wang\Desktop\"/>
    </mc:Choice>
  </mc:AlternateContent>
  <xr:revisionPtr revIDLastSave="0" documentId="13_ncr:1_{C6C4648C-A1D5-4411-ACD4-B1EA30F8B6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sheet1!$A$1:$Y$31</definedName>
  </definedNames>
  <calcPr calcId="191029"/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4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</calcChain>
</file>

<file path=xl/sharedStrings.xml><?xml version="1.0" encoding="utf-8"?>
<sst xmlns="http://schemas.openxmlformats.org/spreadsheetml/2006/main" count="126" uniqueCount="107">
  <si>
    <t>2025-2026学年第一学期嵌入式软件与系统</t>
  </si>
  <si>
    <t>课程名称：IS12020 嵌入式软件与系统  任课教师：黄静  开课单位：信息科学与工程学院（网络空间安全学院）  人数：28</t>
  </si>
  <si>
    <t>序号</t>
  </si>
  <si>
    <t>学号</t>
  </si>
  <si>
    <t>姓名</t>
  </si>
  <si>
    <t>题目序号</t>
  </si>
  <si>
    <t>时间</t>
  </si>
  <si>
    <t>大作业0.25</t>
  </si>
  <si>
    <t>平时成绩0.2</t>
  </si>
  <si>
    <t>期末0.55</t>
  </si>
  <si>
    <t>总评</t>
  </si>
  <si>
    <t>2025220704004</t>
  </si>
  <si>
    <t>陈存毅</t>
  </si>
  <si>
    <t>14</t>
  </si>
  <si>
    <t>第十周</t>
  </si>
  <si>
    <t>2025220704007</t>
  </si>
  <si>
    <t>陈华</t>
  </si>
  <si>
    <t>9</t>
  </si>
  <si>
    <t>第十一周</t>
  </si>
  <si>
    <t>2025220704014</t>
  </si>
  <si>
    <t>范俊杰</t>
  </si>
  <si>
    <t>25</t>
  </si>
  <si>
    <t>2025220704017</t>
  </si>
  <si>
    <t>郭乐乐</t>
  </si>
  <si>
    <t>22</t>
  </si>
  <si>
    <t>第八周</t>
  </si>
  <si>
    <t>2025220704018</t>
  </si>
  <si>
    <t>何昊德</t>
  </si>
  <si>
    <t>27</t>
  </si>
  <si>
    <t>2025220704019</t>
  </si>
  <si>
    <t>洪文鹏</t>
  </si>
  <si>
    <t>19</t>
  </si>
  <si>
    <t>第十二周</t>
  </si>
  <si>
    <t>2025220704023</t>
  </si>
  <si>
    <t>黄歆怡</t>
  </si>
  <si>
    <t>26</t>
  </si>
  <si>
    <t>2025220704024</t>
  </si>
  <si>
    <t>胡景凯</t>
  </si>
  <si>
    <t>11</t>
  </si>
  <si>
    <t>2025220704026</t>
  </si>
  <si>
    <t>蒋施捷</t>
  </si>
  <si>
    <t>24</t>
  </si>
  <si>
    <t>第十三周</t>
  </si>
  <si>
    <t>2025220704028</t>
  </si>
  <si>
    <t>廖家祥</t>
  </si>
  <si>
    <t>17</t>
  </si>
  <si>
    <t>2025220704030</t>
  </si>
  <si>
    <t>林逸航</t>
  </si>
  <si>
    <t>4</t>
  </si>
  <si>
    <t>2025220704033</t>
  </si>
  <si>
    <t>刘志明</t>
  </si>
  <si>
    <t>15</t>
  </si>
  <si>
    <t>2025220704034</t>
  </si>
  <si>
    <t>李旭栋</t>
  </si>
  <si>
    <t>2</t>
  </si>
  <si>
    <t>第十四周</t>
  </si>
  <si>
    <t>2025220704036</t>
  </si>
  <si>
    <t>李宇航</t>
  </si>
  <si>
    <t>10</t>
  </si>
  <si>
    <t>2025220704037</t>
  </si>
  <si>
    <t>李志宇</t>
  </si>
  <si>
    <t>23</t>
  </si>
  <si>
    <t>2025220704055</t>
  </si>
  <si>
    <t>汪晨茜</t>
  </si>
  <si>
    <t>6</t>
  </si>
  <si>
    <t>2025220704056</t>
  </si>
  <si>
    <t>王浩</t>
  </si>
  <si>
    <t>5</t>
  </si>
  <si>
    <t>第十五周</t>
  </si>
  <si>
    <t>2025220704060</t>
  </si>
  <si>
    <t>王苒</t>
  </si>
  <si>
    <t>28</t>
  </si>
  <si>
    <t>2025220704061</t>
  </si>
  <si>
    <t>王帅豪</t>
  </si>
  <si>
    <t>8</t>
  </si>
  <si>
    <t>2025220704063</t>
  </si>
  <si>
    <t>汪洋</t>
  </si>
  <si>
    <t>20</t>
  </si>
  <si>
    <t>第十六周</t>
  </si>
  <si>
    <t>2025220704064</t>
  </si>
  <si>
    <t>汪奕翰</t>
  </si>
  <si>
    <t>1</t>
  </si>
  <si>
    <t>第九周</t>
  </si>
  <si>
    <t>2025220704065</t>
  </si>
  <si>
    <t>魏榜伸</t>
  </si>
  <si>
    <t>3</t>
  </si>
  <si>
    <t>2025220704080</t>
  </si>
  <si>
    <t>杨浩龙</t>
  </si>
  <si>
    <t>12</t>
  </si>
  <si>
    <t>2025220704086</t>
  </si>
  <si>
    <t>曾宏毅</t>
  </si>
  <si>
    <t>18</t>
  </si>
  <si>
    <t>2025220704089</t>
  </si>
  <si>
    <t>张若宇</t>
  </si>
  <si>
    <t>21</t>
  </si>
  <si>
    <t>2025220704090</t>
  </si>
  <si>
    <t>张圣博</t>
  </si>
  <si>
    <t>13</t>
  </si>
  <si>
    <t>第十七周</t>
  </si>
  <si>
    <t>2025220704091</t>
  </si>
  <si>
    <t>张子涵</t>
  </si>
  <si>
    <t>16</t>
  </si>
  <si>
    <t>2025220704093</t>
  </si>
  <si>
    <t>赵子晗</t>
  </si>
  <si>
    <t>7</t>
  </si>
  <si>
    <t>实践0.25</t>
    <phoneticPr fontId="6" type="noConversion"/>
  </si>
  <si>
    <t>平时0.2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</si>
</sst>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7" formatCode="0.00_ "/>
    <numFmt numFmtId="179" formatCode="0_);[Red]\(0\)"/>
  </numFmts>
  <fonts count="8" x14ac:knownFonts="1">
    <font>
      <sz val="10"/>
      <name val="Arial"/>
      <charset val="134"/>
    </font>
    <font>
      <b/>
      <sz val="12"/>
      <name val="Arial"/>
      <family val="2"/>
    </font>
    <font>
      <b/>
      <sz val="10"/>
      <name val="宋体"/>
      <charset val="134"/>
    </font>
    <font>
      <sz val="10"/>
      <name val="宋体"/>
      <charset val="134"/>
    </font>
    <font>
      <sz val="10"/>
      <name val="宋体"/>
      <charset val="134"/>
      <scheme val="minor"/>
    </font>
    <font>
      <b/>
      <sz val="10"/>
      <name val="Arial"/>
      <family val="2"/>
    </font>
    <font>
      <sz val="9"/>
      <name val="Arial"/>
      <family val="2"/>
    </font>
    <font>
      <b/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 wrapText="1"/>
    </xf>
    <xf numFmtId="179" fontId="0" fillId="0" borderId="0" xfId="0" applyNumberFormat="1"/>
  </cellXfs>
  <cellStyles count="1">
    <cellStyle name="常规" xfId="0" builtinId="0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00000000-0011-0000-FFFF-FFFF00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31"/>
  <sheetViews>
    <sheetView tabSelected="1" topLeftCell="C2" zoomScale="85" zoomScaleNormal="85" workbookViewId="0">
      <pane ySplit="2" topLeftCell="A4" activePane="bottomLeft" state="frozen"/>
      <selection pane="bottomLeft" activeCell="H4" sqref="H4"/>
    </sheetView>
  </sheetViews>
  <sheetFormatPr defaultColWidth="9.44140625" defaultRowHeight="13.2" x14ac:dyDescent="0.25"/>
  <cols>
    <col min="1" max="1" width="5.109375" style="1" customWidth="1"/>
    <col min="2" max="2" width="15" customWidth="1"/>
    <col min="3" max="3" width="8.44140625" customWidth="1"/>
    <col min="4" max="4" width="11.109375" hidden="1" customWidth="1"/>
    <col min="5" max="5" width="10.21875" hidden="1" customWidth="1"/>
    <col min="6" max="6" width="12.44140625" hidden="1" customWidth="1"/>
    <col min="7" max="7" width="12" hidden="1" customWidth="1"/>
    <col min="8" max="8" width="10.5546875" customWidth="1"/>
    <col min="9" max="9" width="12.109375" customWidth="1"/>
    <col min="10" max="10" width="12.109375" hidden="1" customWidth="1"/>
    <col min="11" max="11" width="12.109375" customWidth="1"/>
    <col min="12" max="12" width="13" style="18" customWidth="1"/>
    <col min="13" max="25" width="3.88671875" customWidth="1"/>
  </cols>
  <sheetData>
    <row r="1" spans="1:25" ht="25.0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25.0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ht="25.05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5" t="s">
        <v>8</v>
      </c>
      <c r="H3" s="15" t="s">
        <v>106</v>
      </c>
      <c r="I3" s="5" t="s">
        <v>9</v>
      </c>
      <c r="J3" s="14" t="s">
        <v>105</v>
      </c>
      <c r="K3" s="14" t="s">
        <v>105</v>
      </c>
      <c r="L3" s="16" t="s">
        <v>10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22.5" customHeight="1" x14ac:dyDescent="0.25">
      <c r="A4" s="3">
        <v>1</v>
      </c>
      <c r="B4" s="4" t="s">
        <v>11</v>
      </c>
      <c r="C4" s="4" t="s">
        <v>12</v>
      </c>
      <c r="D4" s="4" t="s">
        <v>13</v>
      </c>
      <c r="E4" s="6" t="s">
        <v>14</v>
      </c>
      <c r="F4" s="7">
        <v>22</v>
      </c>
      <c r="G4" s="8">
        <v>20</v>
      </c>
      <c r="H4" s="8">
        <f>G4/0.2</f>
        <v>100</v>
      </c>
      <c r="I4" s="8">
        <v>93</v>
      </c>
      <c r="J4" s="7">
        <v>22</v>
      </c>
      <c r="K4" s="7">
        <f>J4/0.25</f>
        <v>88</v>
      </c>
      <c r="L4" s="17">
        <f>I4*0.55+G4+F4</f>
        <v>93.15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25.05" customHeight="1" x14ac:dyDescent="0.25">
      <c r="A5" s="3">
        <v>2</v>
      </c>
      <c r="B5" s="4" t="s">
        <v>15</v>
      </c>
      <c r="C5" s="4" t="s">
        <v>16</v>
      </c>
      <c r="D5" s="4" t="s">
        <v>17</v>
      </c>
      <c r="E5" s="6" t="s">
        <v>18</v>
      </c>
      <c r="F5" s="7">
        <v>20</v>
      </c>
      <c r="G5" s="8">
        <v>16</v>
      </c>
      <c r="H5" s="8">
        <f t="shared" ref="H5:H31" si="0">G5/0.2</f>
        <v>80</v>
      </c>
      <c r="I5" s="8">
        <v>86</v>
      </c>
      <c r="J5" s="7">
        <v>20</v>
      </c>
      <c r="K5" s="7">
        <f t="shared" ref="K5:K31" si="1">J5/0.25</f>
        <v>80</v>
      </c>
      <c r="L5" s="17">
        <f>I5*0.55+G5+F5</f>
        <v>83.300000000000011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25.05" customHeight="1" x14ac:dyDescent="0.25">
      <c r="A6" s="3">
        <v>3</v>
      </c>
      <c r="B6" s="4" t="s">
        <v>19</v>
      </c>
      <c r="C6" s="4" t="s">
        <v>20</v>
      </c>
      <c r="D6" s="4" t="s">
        <v>21</v>
      </c>
      <c r="E6" s="6" t="s">
        <v>18</v>
      </c>
      <c r="F6" s="7">
        <v>20</v>
      </c>
      <c r="G6" s="8">
        <v>14</v>
      </c>
      <c r="H6" s="8">
        <f t="shared" si="0"/>
        <v>70</v>
      </c>
      <c r="I6" s="8">
        <v>75</v>
      </c>
      <c r="J6" s="7">
        <v>20</v>
      </c>
      <c r="K6" s="7">
        <f t="shared" si="1"/>
        <v>80</v>
      </c>
      <c r="L6" s="17">
        <f>I6*0.55+G6+F6</f>
        <v>75.25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25.05" customHeight="1" x14ac:dyDescent="0.25">
      <c r="A7" s="3">
        <v>4</v>
      </c>
      <c r="B7" s="4" t="s">
        <v>22</v>
      </c>
      <c r="C7" s="4" t="s">
        <v>23</v>
      </c>
      <c r="D7" s="4" t="s">
        <v>24</v>
      </c>
      <c r="E7" s="6" t="s">
        <v>25</v>
      </c>
      <c r="F7" s="7">
        <v>21</v>
      </c>
      <c r="G7" s="8">
        <v>19</v>
      </c>
      <c r="H7" s="8">
        <f t="shared" si="0"/>
        <v>95</v>
      </c>
      <c r="I7" s="8">
        <v>85</v>
      </c>
      <c r="J7" s="7">
        <v>21</v>
      </c>
      <c r="K7" s="7">
        <f t="shared" si="1"/>
        <v>84</v>
      </c>
      <c r="L7" s="17">
        <f>I7*0.55+G7+F7</f>
        <v>86.75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25.05" customHeight="1" x14ac:dyDescent="0.25">
      <c r="A8" s="3">
        <v>5</v>
      </c>
      <c r="B8" s="4" t="s">
        <v>26</v>
      </c>
      <c r="C8" s="4" t="s">
        <v>27</v>
      </c>
      <c r="D8" s="4" t="s">
        <v>28</v>
      </c>
      <c r="E8" s="6" t="s">
        <v>18</v>
      </c>
      <c r="F8" s="7">
        <v>22</v>
      </c>
      <c r="G8" s="8">
        <v>16</v>
      </c>
      <c r="H8" s="8">
        <f t="shared" si="0"/>
        <v>80</v>
      </c>
      <c r="I8" s="8">
        <v>88</v>
      </c>
      <c r="J8" s="7">
        <v>22</v>
      </c>
      <c r="K8" s="7">
        <f t="shared" si="1"/>
        <v>88</v>
      </c>
      <c r="L8" s="17">
        <f>I8*0.55+G8+F8</f>
        <v>86.4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25.05" customHeight="1" x14ac:dyDescent="0.25">
      <c r="A9" s="3">
        <v>6</v>
      </c>
      <c r="B9" s="4" t="s">
        <v>29</v>
      </c>
      <c r="C9" s="4" t="s">
        <v>30</v>
      </c>
      <c r="D9" s="4" t="s">
        <v>31</v>
      </c>
      <c r="E9" s="6" t="s">
        <v>32</v>
      </c>
      <c r="F9" s="7">
        <v>20</v>
      </c>
      <c r="G9" s="8">
        <v>16</v>
      </c>
      <c r="H9" s="8">
        <f t="shared" si="0"/>
        <v>80</v>
      </c>
      <c r="I9" s="8">
        <v>90</v>
      </c>
      <c r="J9" s="7">
        <v>20</v>
      </c>
      <c r="K9" s="7">
        <f t="shared" si="1"/>
        <v>80</v>
      </c>
      <c r="L9" s="17">
        <f>I9*0.55+G9+F9</f>
        <v>85.5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25.05" customHeight="1" x14ac:dyDescent="0.25">
      <c r="A10" s="3">
        <v>7</v>
      </c>
      <c r="B10" s="4" t="s">
        <v>33</v>
      </c>
      <c r="C10" s="4" t="s">
        <v>34</v>
      </c>
      <c r="D10" s="4" t="s">
        <v>35</v>
      </c>
      <c r="E10" s="6" t="s">
        <v>32</v>
      </c>
      <c r="F10" s="7">
        <v>18</v>
      </c>
      <c r="G10" s="8">
        <v>15</v>
      </c>
      <c r="H10" s="8">
        <f t="shared" si="0"/>
        <v>75</v>
      </c>
      <c r="I10" s="8">
        <v>81</v>
      </c>
      <c r="J10" s="7">
        <v>18</v>
      </c>
      <c r="K10" s="7">
        <f t="shared" si="1"/>
        <v>72</v>
      </c>
      <c r="L10" s="17">
        <f>I10*0.55+G10+F10</f>
        <v>77.550000000000011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25.05" customHeight="1" x14ac:dyDescent="0.25">
      <c r="A11" s="3">
        <v>8</v>
      </c>
      <c r="B11" s="4" t="s">
        <v>36</v>
      </c>
      <c r="C11" s="4" t="s">
        <v>37</v>
      </c>
      <c r="D11" s="4" t="s">
        <v>38</v>
      </c>
      <c r="E11" s="6" t="s">
        <v>32</v>
      </c>
      <c r="F11" s="7">
        <v>20</v>
      </c>
      <c r="G11" s="8">
        <v>18</v>
      </c>
      <c r="H11" s="8">
        <f t="shared" si="0"/>
        <v>90</v>
      </c>
      <c r="I11" s="8">
        <v>88</v>
      </c>
      <c r="J11" s="7">
        <v>20</v>
      </c>
      <c r="K11" s="7">
        <f t="shared" si="1"/>
        <v>80</v>
      </c>
      <c r="L11" s="17">
        <f>I11*0.55+G11+F11</f>
        <v>86.4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25.05" customHeight="1" x14ac:dyDescent="0.25">
      <c r="A12" s="3">
        <v>9</v>
      </c>
      <c r="B12" s="4" t="s">
        <v>39</v>
      </c>
      <c r="C12" s="4" t="s">
        <v>40</v>
      </c>
      <c r="D12" s="4" t="s">
        <v>41</v>
      </c>
      <c r="E12" s="6" t="s">
        <v>42</v>
      </c>
      <c r="F12" s="7">
        <v>20</v>
      </c>
      <c r="G12" s="8">
        <v>19</v>
      </c>
      <c r="H12" s="8">
        <f t="shared" si="0"/>
        <v>95</v>
      </c>
      <c r="I12" s="8">
        <v>81</v>
      </c>
      <c r="J12" s="7">
        <v>20</v>
      </c>
      <c r="K12" s="7">
        <f t="shared" si="1"/>
        <v>80</v>
      </c>
      <c r="L12" s="17">
        <f>I12*0.55+G12+F12</f>
        <v>83.550000000000011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25.05" customHeight="1" x14ac:dyDescent="0.25">
      <c r="A13" s="3">
        <v>10</v>
      </c>
      <c r="B13" s="4" t="s">
        <v>43</v>
      </c>
      <c r="C13" s="4" t="s">
        <v>44</v>
      </c>
      <c r="D13" s="4" t="s">
        <v>45</v>
      </c>
      <c r="E13" s="9" t="s">
        <v>42</v>
      </c>
      <c r="F13" s="10">
        <v>22</v>
      </c>
      <c r="G13" s="8">
        <v>20</v>
      </c>
      <c r="H13" s="8">
        <f t="shared" si="0"/>
        <v>100</v>
      </c>
      <c r="I13" s="8">
        <v>83</v>
      </c>
      <c r="J13" s="10">
        <v>22</v>
      </c>
      <c r="K13" s="7">
        <f t="shared" si="1"/>
        <v>88</v>
      </c>
      <c r="L13" s="17">
        <f>I13*0.55+G13+F13</f>
        <v>87.65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25.05" customHeight="1" x14ac:dyDescent="0.25">
      <c r="A14" s="3">
        <v>11</v>
      </c>
      <c r="B14" s="4" t="s">
        <v>46</v>
      </c>
      <c r="C14" s="4" t="s">
        <v>47</v>
      </c>
      <c r="D14" s="4" t="s">
        <v>48</v>
      </c>
      <c r="E14" s="6" t="s">
        <v>14</v>
      </c>
      <c r="F14" s="7">
        <v>22</v>
      </c>
      <c r="G14" s="8">
        <v>20</v>
      </c>
      <c r="H14" s="8">
        <f t="shared" si="0"/>
        <v>100</v>
      </c>
      <c r="I14" s="8">
        <v>93</v>
      </c>
      <c r="J14" s="7">
        <v>22</v>
      </c>
      <c r="K14" s="7">
        <f t="shared" si="1"/>
        <v>88</v>
      </c>
      <c r="L14" s="17">
        <f>I14*0.55+G14+F14</f>
        <v>93.15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5.05" customHeight="1" x14ac:dyDescent="0.25">
      <c r="A15" s="3">
        <v>12</v>
      </c>
      <c r="B15" s="4" t="s">
        <v>49</v>
      </c>
      <c r="C15" s="4" t="s">
        <v>50</v>
      </c>
      <c r="D15" s="4" t="s">
        <v>51</v>
      </c>
      <c r="E15" s="9" t="s">
        <v>42</v>
      </c>
      <c r="F15" s="10">
        <v>21</v>
      </c>
      <c r="G15" s="8">
        <v>17</v>
      </c>
      <c r="H15" s="8">
        <f t="shared" si="0"/>
        <v>85</v>
      </c>
      <c r="I15" s="8">
        <v>82</v>
      </c>
      <c r="J15" s="10">
        <v>21</v>
      </c>
      <c r="K15" s="7">
        <f t="shared" si="1"/>
        <v>84</v>
      </c>
      <c r="L15" s="17">
        <f>I15*0.55+G15+F15</f>
        <v>83.1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25.05" customHeight="1" x14ac:dyDescent="0.25">
      <c r="A16" s="3">
        <v>13</v>
      </c>
      <c r="B16" s="4" t="s">
        <v>52</v>
      </c>
      <c r="C16" s="4" t="s">
        <v>53</v>
      </c>
      <c r="D16" s="4" t="s">
        <v>54</v>
      </c>
      <c r="E16" s="6" t="s">
        <v>55</v>
      </c>
      <c r="F16" s="7">
        <v>24</v>
      </c>
      <c r="G16" s="8">
        <v>18</v>
      </c>
      <c r="H16" s="8">
        <f t="shared" si="0"/>
        <v>90</v>
      </c>
      <c r="I16" s="8">
        <v>80</v>
      </c>
      <c r="J16" s="7">
        <v>24</v>
      </c>
      <c r="K16" s="7">
        <f t="shared" si="1"/>
        <v>96</v>
      </c>
      <c r="L16" s="17">
        <f>I16*0.55+G16+F16</f>
        <v>86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25.05" customHeight="1" x14ac:dyDescent="0.25">
      <c r="A17" s="3">
        <v>14</v>
      </c>
      <c r="B17" s="4" t="s">
        <v>56</v>
      </c>
      <c r="C17" s="4" t="s">
        <v>57</v>
      </c>
      <c r="D17" s="4" t="s">
        <v>58</v>
      </c>
      <c r="E17" s="6" t="s">
        <v>55</v>
      </c>
      <c r="F17" s="7">
        <v>21</v>
      </c>
      <c r="G17" s="8">
        <v>16</v>
      </c>
      <c r="H17" s="8">
        <f t="shared" si="0"/>
        <v>80</v>
      </c>
      <c r="I17" s="8">
        <v>87</v>
      </c>
      <c r="J17" s="7">
        <v>21</v>
      </c>
      <c r="K17" s="7">
        <f t="shared" si="1"/>
        <v>84</v>
      </c>
      <c r="L17" s="17">
        <f>I17*0.55+G17+F17</f>
        <v>84.85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25.05" customHeight="1" x14ac:dyDescent="0.25">
      <c r="A18" s="3">
        <v>15</v>
      </c>
      <c r="B18" s="4" t="s">
        <v>59</v>
      </c>
      <c r="C18" s="4" t="s">
        <v>60</v>
      </c>
      <c r="D18" s="4" t="s">
        <v>61</v>
      </c>
      <c r="E18" s="6" t="s">
        <v>55</v>
      </c>
      <c r="F18" s="7">
        <v>19</v>
      </c>
      <c r="G18" s="8">
        <v>15</v>
      </c>
      <c r="H18" s="8">
        <f t="shared" si="0"/>
        <v>75</v>
      </c>
      <c r="I18" s="8">
        <v>81</v>
      </c>
      <c r="J18" s="7">
        <v>19</v>
      </c>
      <c r="K18" s="7">
        <f t="shared" si="1"/>
        <v>76</v>
      </c>
      <c r="L18" s="17">
        <f>I18*0.55+G18+F18</f>
        <v>78.550000000000011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25.05" customHeight="1" x14ac:dyDescent="0.25">
      <c r="A19" s="3">
        <v>16</v>
      </c>
      <c r="B19" s="4" t="s">
        <v>62</v>
      </c>
      <c r="C19" s="4" t="s">
        <v>63</v>
      </c>
      <c r="D19" s="4" t="s">
        <v>64</v>
      </c>
      <c r="E19" s="6" t="s">
        <v>14</v>
      </c>
      <c r="F19" s="7">
        <v>24</v>
      </c>
      <c r="G19" s="8">
        <v>20</v>
      </c>
      <c r="H19" s="8">
        <f t="shared" si="0"/>
        <v>100</v>
      </c>
      <c r="I19" s="8">
        <v>92</v>
      </c>
      <c r="J19" s="7">
        <v>24</v>
      </c>
      <c r="K19" s="7">
        <f t="shared" si="1"/>
        <v>96</v>
      </c>
      <c r="L19" s="17">
        <f>I19*0.55+G19+F19</f>
        <v>94.6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25.05" customHeight="1" x14ac:dyDescent="0.25">
      <c r="A20" s="3">
        <v>17</v>
      </c>
      <c r="B20" s="4" t="s">
        <v>65</v>
      </c>
      <c r="C20" s="4" t="s">
        <v>66</v>
      </c>
      <c r="D20" s="4" t="s">
        <v>67</v>
      </c>
      <c r="E20" s="6" t="s">
        <v>68</v>
      </c>
      <c r="F20" s="7">
        <v>22</v>
      </c>
      <c r="G20" s="8">
        <v>17</v>
      </c>
      <c r="H20" s="8">
        <f t="shared" si="0"/>
        <v>85</v>
      </c>
      <c r="I20" s="8">
        <v>84</v>
      </c>
      <c r="J20" s="7">
        <v>22</v>
      </c>
      <c r="K20" s="7">
        <f t="shared" si="1"/>
        <v>88</v>
      </c>
      <c r="L20" s="17">
        <f>I20*0.55+G20+F20</f>
        <v>85.2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25.05" customHeight="1" x14ac:dyDescent="0.25">
      <c r="A21" s="3">
        <v>18</v>
      </c>
      <c r="B21" s="4" t="s">
        <v>69</v>
      </c>
      <c r="C21" s="4" t="s">
        <v>70</v>
      </c>
      <c r="D21" s="4" t="s">
        <v>71</v>
      </c>
      <c r="E21" s="6" t="s">
        <v>68</v>
      </c>
      <c r="F21" s="7">
        <v>20</v>
      </c>
      <c r="G21" s="8">
        <v>16</v>
      </c>
      <c r="H21" s="8">
        <f t="shared" si="0"/>
        <v>80</v>
      </c>
      <c r="I21" s="8">
        <v>86</v>
      </c>
      <c r="J21" s="7">
        <v>20</v>
      </c>
      <c r="K21" s="7">
        <f t="shared" si="1"/>
        <v>80</v>
      </c>
      <c r="L21" s="17">
        <f>I21*0.55+G21+F21</f>
        <v>83.300000000000011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25.05" customHeight="1" x14ac:dyDescent="0.25">
      <c r="A22" s="3">
        <v>19</v>
      </c>
      <c r="B22" s="4" t="s">
        <v>72</v>
      </c>
      <c r="C22" s="4" t="s">
        <v>73</v>
      </c>
      <c r="D22" s="4" t="s">
        <v>74</v>
      </c>
      <c r="E22" s="6" t="s">
        <v>68</v>
      </c>
      <c r="F22" s="7">
        <v>19</v>
      </c>
      <c r="G22" s="8">
        <v>15</v>
      </c>
      <c r="H22" s="8">
        <f t="shared" si="0"/>
        <v>75</v>
      </c>
      <c r="I22" s="8">
        <v>78</v>
      </c>
      <c r="J22" s="7">
        <v>19</v>
      </c>
      <c r="K22" s="7">
        <f t="shared" si="1"/>
        <v>76</v>
      </c>
      <c r="L22" s="17">
        <f>I22*0.55+G22+F22</f>
        <v>76.900000000000006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25.05" customHeight="1" x14ac:dyDescent="0.25">
      <c r="A23" s="3">
        <v>20</v>
      </c>
      <c r="B23" s="4" t="s">
        <v>75</v>
      </c>
      <c r="C23" s="4" t="s">
        <v>76</v>
      </c>
      <c r="D23" s="4" t="s">
        <v>77</v>
      </c>
      <c r="E23" s="6" t="s">
        <v>78</v>
      </c>
      <c r="F23" s="7">
        <v>19</v>
      </c>
      <c r="G23" s="8">
        <v>16</v>
      </c>
      <c r="H23" s="8">
        <f t="shared" si="0"/>
        <v>80</v>
      </c>
      <c r="I23" s="8">
        <v>87</v>
      </c>
      <c r="J23" s="7">
        <v>19</v>
      </c>
      <c r="K23" s="7">
        <f t="shared" si="1"/>
        <v>76</v>
      </c>
      <c r="L23" s="17">
        <f>I23*0.55+G23+F23</f>
        <v>82.85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25.05" customHeight="1" x14ac:dyDescent="0.25">
      <c r="A24" s="3">
        <v>21</v>
      </c>
      <c r="B24" s="4" t="s">
        <v>79</v>
      </c>
      <c r="C24" s="4" t="s">
        <v>80</v>
      </c>
      <c r="D24" s="4" t="s">
        <v>81</v>
      </c>
      <c r="E24" s="6" t="s">
        <v>82</v>
      </c>
      <c r="F24" s="7">
        <v>21</v>
      </c>
      <c r="G24" s="8">
        <v>20</v>
      </c>
      <c r="H24" s="8">
        <f t="shared" si="0"/>
        <v>100</v>
      </c>
      <c r="I24" s="8">
        <v>82</v>
      </c>
      <c r="J24" s="7">
        <v>21</v>
      </c>
      <c r="K24" s="7">
        <f t="shared" si="1"/>
        <v>84</v>
      </c>
      <c r="L24" s="17">
        <f>I24*0.55+G24+F24</f>
        <v>86.1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25.05" customHeight="1" x14ac:dyDescent="0.25">
      <c r="A25" s="3">
        <v>22</v>
      </c>
      <c r="B25" s="4" t="s">
        <v>83</v>
      </c>
      <c r="C25" s="4" t="s">
        <v>84</v>
      </c>
      <c r="D25" s="4" t="s">
        <v>85</v>
      </c>
      <c r="E25" s="6" t="s">
        <v>25</v>
      </c>
      <c r="F25" s="7">
        <v>22</v>
      </c>
      <c r="G25" s="8">
        <v>16</v>
      </c>
      <c r="H25" s="8">
        <f t="shared" si="0"/>
        <v>80</v>
      </c>
      <c r="I25" s="8">
        <v>81</v>
      </c>
      <c r="J25" s="7">
        <v>22</v>
      </c>
      <c r="K25" s="7">
        <f t="shared" si="1"/>
        <v>88</v>
      </c>
      <c r="L25" s="17">
        <f>I25*0.55+G25+F25</f>
        <v>82.550000000000011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25.05" customHeight="1" x14ac:dyDescent="0.25">
      <c r="A26" s="3">
        <v>23</v>
      </c>
      <c r="B26" s="4" t="s">
        <v>86</v>
      </c>
      <c r="C26" s="4" t="s">
        <v>87</v>
      </c>
      <c r="D26" s="4" t="s">
        <v>88</v>
      </c>
      <c r="E26" s="6" t="s">
        <v>78</v>
      </c>
      <c r="F26" s="7">
        <v>20</v>
      </c>
      <c r="G26" s="8">
        <v>15</v>
      </c>
      <c r="H26" s="8">
        <f t="shared" si="0"/>
        <v>75</v>
      </c>
      <c r="I26" s="8">
        <v>79</v>
      </c>
      <c r="J26" s="7">
        <v>20</v>
      </c>
      <c r="K26" s="7">
        <f t="shared" si="1"/>
        <v>80</v>
      </c>
      <c r="L26" s="17">
        <f>I26*0.55+G26+F26</f>
        <v>78.45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25.05" customHeight="1" x14ac:dyDescent="0.25">
      <c r="A27" s="3">
        <v>24</v>
      </c>
      <c r="B27" s="4" t="s">
        <v>89</v>
      </c>
      <c r="C27" s="4" t="s">
        <v>90</v>
      </c>
      <c r="D27" s="4" t="s">
        <v>91</v>
      </c>
      <c r="E27" s="6" t="s">
        <v>82</v>
      </c>
      <c r="F27" s="7">
        <v>22</v>
      </c>
      <c r="G27" s="8">
        <v>20</v>
      </c>
      <c r="H27" s="8">
        <f t="shared" si="0"/>
        <v>100</v>
      </c>
      <c r="I27" s="8">
        <v>92</v>
      </c>
      <c r="J27" s="7">
        <v>22</v>
      </c>
      <c r="K27" s="7">
        <f t="shared" si="1"/>
        <v>88</v>
      </c>
      <c r="L27" s="17">
        <f>I27*0.55+G27+F27</f>
        <v>92.6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25.05" customHeight="1" x14ac:dyDescent="0.25">
      <c r="A28" s="3">
        <v>25</v>
      </c>
      <c r="B28" s="4" t="s">
        <v>92</v>
      </c>
      <c r="C28" s="4" t="s">
        <v>93</v>
      </c>
      <c r="D28" s="4" t="s">
        <v>94</v>
      </c>
      <c r="E28" s="6" t="s">
        <v>78</v>
      </c>
      <c r="F28" s="7">
        <v>18.5</v>
      </c>
      <c r="G28" s="8">
        <v>15</v>
      </c>
      <c r="H28" s="8">
        <f t="shared" si="0"/>
        <v>75</v>
      </c>
      <c r="I28" s="8">
        <v>83</v>
      </c>
      <c r="J28" s="7">
        <v>18.5</v>
      </c>
      <c r="K28" s="7">
        <f t="shared" si="1"/>
        <v>74</v>
      </c>
      <c r="L28" s="17">
        <f>I28*0.55+G28+F28</f>
        <v>79.150000000000006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25.05" customHeight="1" x14ac:dyDescent="0.25">
      <c r="A29" s="3">
        <v>26</v>
      </c>
      <c r="B29" s="4" t="s">
        <v>95</v>
      </c>
      <c r="C29" s="4" t="s">
        <v>96</v>
      </c>
      <c r="D29" s="4" t="s">
        <v>97</v>
      </c>
      <c r="E29" s="6" t="s">
        <v>98</v>
      </c>
      <c r="F29" s="7">
        <v>22</v>
      </c>
      <c r="G29" s="8">
        <v>14</v>
      </c>
      <c r="H29" s="8">
        <f t="shared" si="0"/>
        <v>70</v>
      </c>
      <c r="I29" s="8">
        <v>90</v>
      </c>
      <c r="J29" s="7">
        <v>22</v>
      </c>
      <c r="K29" s="7">
        <f t="shared" si="1"/>
        <v>88</v>
      </c>
      <c r="L29" s="17">
        <f>I29*0.55+G29+F29</f>
        <v>85.5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25.05" customHeight="1" x14ac:dyDescent="0.25">
      <c r="A30" s="3">
        <v>27</v>
      </c>
      <c r="B30" s="4" t="s">
        <v>99</v>
      </c>
      <c r="C30" s="4" t="s">
        <v>100</v>
      </c>
      <c r="D30" s="4" t="s">
        <v>101</v>
      </c>
      <c r="E30" s="6" t="s">
        <v>98</v>
      </c>
      <c r="F30" s="7">
        <v>19</v>
      </c>
      <c r="G30" s="8">
        <v>15</v>
      </c>
      <c r="H30" s="8">
        <f t="shared" si="0"/>
        <v>75</v>
      </c>
      <c r="I30" s="8">
        <v>83</v>
      </c>
      <c r="J30" s="7">
        <v>19</v>
      </c>
      <c r="K30" s="7">
        <f t="shared" si="1"/>
        <v>76</v>
      </c>
      <c r="L30" s="17">
        <f>I30*0.55+G30+F30</f>
        <v>79.650000000000006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25.05" customHeight="1" x14ac:dyDescent="0.25">
      <c r="A31" s="3">
        <v>28</v>
      </c>
      <c r="B31" s="4" t="s">
        <v>102</v>
      </c>
      <c r="C31" s="4" t="s">
        <v>103</v>
      </c>
      <c r="D31" s="4" t="s">
        <v>104</v>
      </c>
      <c r="E31" s="6" t="s">
        <v>98</v>
      </c>
      <c r="F31" s="7">
        <v>20</v>
      </c>
      <c r="G31" s="8">
        <v>15</v>
      </c>
      <c r="H31" s="8">
        <f t="shared" si="0"/>
        <v>75</v>
      </c>
      <c r="I31" s="8">
        <v>80</v>
      </c>
      <c r="J31" s="7">
        <v>20</v>
      </c>
      <c r="K31" s="7">
        <f t="shared" si="1"/>
        <v>80</v>
      </c>
      <c r="L31" s="17">
        <f>I31*0.55+G31+F31</f>
        <v>79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</sheetData>
  <autoFilter ref="A1:Y31" xr:uid="{00000000-0009-0000-0000-000000000000}">
    <filterColumn colId="7" showButton="0"/>
    <filterColumn colId="9" showButton="0"/>
    <filterColumn colId="10" showButton="0"/>
  </autoFilter>
  <sortState xmlns:xlrd2="http://schemas.microsoft.com/office/spreadsheetml/2017/richdata2" ref="A4:Y31">
    <sortCondition ref="A4:A31"/>
  </sortState>
  <mergeCells count="2">
    <mergeCell ref="A1:Y1"/>
    <mergeCell ref="A2:Y2"/>
  </mergeCells>
  <phoneticPr fontId="6" type="noConversion"/>
  <pageMargins left="0.75" right="0.75" top="1" bottom="1" header="0.5" footer="0.5"/>
  <pageSetup fitToHeight="0" orientation="landscape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晨茜 汪</cp:lastModifiedBy>
  <dcterms:created xsi:type="dcterms:W3CDTF">2024-01-05T02:47:00Z</dcterms:created>
  <dcterms:modified xsi:type="dcterms:W3CDTF">2026-01-10T07:04:14Z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2052-12.38.0</vt:lpwstr>
  </property>
  <property fmtid="{D5CDD505-2E9C-101B-9397-08002B2CF9AE}" pid="3" name="ICV">
    <vt:lpwstr>FA72E516141D429FA62D6C2E3C4BBAF4_13</vt:lpwstr>
  </property>
  <property fmtid="{D5CDD505-2E9C-101B-9397-08002B2CF9AE}" pid="4" name="CalculationRule">
    <vt:i4>0</vt:i4>
  </property>
</Properties>
</file>